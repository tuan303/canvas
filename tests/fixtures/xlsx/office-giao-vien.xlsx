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53F7613-E91B-4C33-860C-C902E2562012}" xr6:coauthVersionLast="47" xr6:coauthVersionMax="47" xr10:uidLastSave="{00000000-0000-0000-0000-000000000000}"/>
  <bookViews>
    <workbookView xWindow="2460" yWindow="2460" windowWidth="21600" windowHeight="11295" xr2:uid="{00000000-000D-0000-FFFF-FFFF00000000}"/>
  </bookViews>
  <sheets>
    <sheet name="Câu hỏi" sheetId="1" r:id="rId1"/>
    <sheet name="Hướng dẫn" sheetId="2" r:id="rId2"/>
  </sheets>
  <definedNames>
    <definedName name="_xlnm._FilterDatabase" localSheetId="0" hidden="1">'Câu hỏi'!$A$1:$R$15</definedName>
    <definedName name="_xlnm.Print_Titles" localSheetId="0">'Câu hỏi'!$1:$1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A4" i="1"/>
  <c r="A7" i="1"/>
  <c r="A2" i="1"/>
  <c r="A3" i="1" s="1"/>
  <c r="A5" i="1" s="1"/>
  <c r="A6" i="1" l="1"/>
  <c r="A8" i="1" s="1"/>
  <c r="A9" i="1" s="1"/>
  <c r="A10" i="1" s="1"/>
  <c r="A11" i="1" s="1"/>
  <c r="A12" i="1" s="1"/>
  <c r="A13" i="1" s="1"/>
  <c r="A14" i="1" s="1"/>
  <c r="A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Giáo viên</author>
  </authors>
  <commentList>
    <comment ref="C13" authorId="0" shapeId="0" xr:uid="{A11E8F58-D86F-43D1-8CAA-5277ECADD503}">
      <text>
        <r>
          <rPr>
            <b/>
            <sz val="9"/>
            <color indexed="81"/>
            <rFont val="Tahoma"/>
            <family val="2"/>
          </rPr>
          <t>Câu này chấm tay.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<sst xmlns="http://schemas.openxmlformats.org/spreadsheetml/2006/main" count="230" uniqueCount="172">
  <si>
    <t>STT</t>
  </si>
  <si>
    <t>Loại câu</t>
  </si>
  <si>
    <t>Nội dung câu hỏi</t>
  </si>
  <si>
    <t>Ảnh</t>
  </si>
  <si>
    <t>A</t>
  </si>
  <si>
    <t>B</t>
  </si>
  <si>
    <t>C</t>
  </si>
  <si>
    <t>D</t>
  </si>
  <si>
    <t>E</t>
  </si>
  <si>
    <t>F</t>
  </si>
  <si>
    <t>G</t>
  </si>
  <si>
    <t>H</t>
  </si>
  <si>
    <t>Đáp án</t>
  </si>
  <si>
    <t>Điểm</t>
  </si>
  <si>
    <t>Lời giải</t>
  </si>
  <si>
    <t>Ngân hàng</t>
  </si>
  <si>
    <t>Mức độ</t>
  </si>
  <si>
    <t>Chủ đề</t>
  </si>
  <si>
    <t>TN – Một đáp án</t>
  </si>
  <si>
    <t>NB</t>
  </si>
  <si>
    <t>Hàm số</t>
  </si>
  <si>
    <t>TH</t>
  </si>
  <si>
    <t>NĐ – Nhiều đáp án</t>
  </si>
  <si>
    <t>VD</t>
  </si>
  <si>
    <t>ĐOẠN – Đoạn dẫn</t>
  </si>
  <si>
    <t>HẾT</t>
  </si>
  <si>
    <t>ĐS – Đúng/Sai</t>
  </si>
  <si>
    <t>TLN – Trả lời ngắn</t>
  </si>
  <si>
    <t>SỐ – Điền số</t>
  </si>
  <si>
    <t>TL – Tự luận</t>
  </si>
  <si>
    <t>ĐIỀN – Điền khuyết</t>
  </si>
  <si>
    <t>CHỌN – Chọn từ danh sách</t>
  </si>
  <si>
    <t>GHÉP – Ghép nối</t>
  </si>
  <si>
    <t>MẪU NHẬP NGÂN HÀNG CÂU HỎI CANVAS</t>
  </si>
  <si>
    <t>Trường Tiểu học, THCS &amp; THPT Ngôi Sao Hoàng Mai · dùng với công cụ Ngân hàng câu hỏi Canvas</t>
  </si>
  <si>
    <t>Cách điền</t>
  </si>
  <si>
    <t>Mỗi dòng ở trang «Câu hỏi» là một câu hỏi. Các dòng 2–18 là ví dụ đủ mọi loại câu (dòng nền vàng là đoạn dẫn): xem xong thì chọn các dòng đó → chuột phải → Delete (Xoá) — ảnh ví dụ bị xoá theo. Giữ nguyên dòng tiêu đề (đổi thứ tự cột hay thêm cột riêng đều được, cột lạ được bỏ qua).</t>
  </si>
  <si>
    <t>1. CÁCH DÙNG</t>
  </si>
  <si>
    <t>Bước 1</t>
  </si>
  <si>
    <t>Mỗi dòng một câu: chọn Loại câu trong danh sách (hoặc để trống để công cụ tự nhận loại), ghi Nội dung, các phương án, Đáp án, Điểm.</t>
  </si>
  <si>
    <t>Bước 2</t>
  </si>
  <si>
    <t>Ghi tên ngân hàng ở cột Ngân hàng (để trống = giữ ngân hàng của dòng trên). Nhiều tên khác nhau → nhiều ngân hàng.</t>
  </si>
  <si>
    <t>Bước 3</t>
  </si>
  <si>
    <t>Lưu tệp dạng Excel (.xlsx), mở công cụ Ngân hàng câu hỏi Canvas, kéo thả tệp vào (kèm các ảnh ghi ở cột Ảnh nếu có). Soát lại từng câu: câu báo đỏ không được xuất.</t>
  </si>
  <si>
    <t>Bước 4</t>
  </si>
  <si>
    <t>Bấm Tải gói QTI rồi làm theo hướng dẫn hiện ngay dưới nút. New Quizzes (khuyên dùng): Ngân Hàng Câu Hỏi (Item Banks) → mở một ngân hàng còn trống → ⋮ → Import Content. Classic Quizzes: Cài Đặt → Nhập Nội Dung Khóa Học (Settings → Import Course Content) → Tập tin .zip QTI.</t>
  </si>
  <si>
    <t>2. CÁC CỘT CỦA TRANG «CÂU HỎI»</t>
  </si>
  <si>
    <t>Cột</t>
  </si>
  <si>
    <t>Ý nghĩa</t>
  </si>
  <si>
    <t>Ví dụ</t>
  </si>
  <si>
    <t>Bắt buộc</t>
  </si>
  <si>
    <t>Số thứ tự câu, hiện trong tên câu trên Canvas (“Câu 3”). Để trống thì tự đánh số.</t>
  </si>
  <si>
    <t>3</t>
  </si>
  <si>
    <t>Không</t>
  </si>
  <si>
    <t>Chọn trong danh sách (bấm mũi tên ở ô). Để trống thì công cụ tự nhận loại. Xem bảng 3.</t>
  </si>
  <si>
    <t>Nội dung câu. Xuống dòng trong ô: Alt + Enter. In đậm, nghiêng, gạch chân, chỉ số trên/dưới được giữ nguyên. Công thức gõ LaTeX giữa hai dấu $.</t>
  </si>
  <si>
    <t>Giải phương trình $x^2-5x+6=0$</t>
  </si>
  <si>
    <t>Có</t>
  </si>
  <si>
    <t>Tên tệp ảnh (nhiều ảnh ngăn bằng ;) — khi nạp, kéo thả kèm các ảnh đó. Hoặc dán ảnh thẳng lên trang tính sao cho góc trên bên trái của ảnh nằm trong dòng câu hỏi (như câu 2 ví dụ), hoặc Insert → Pictures → Place in Cell (Chèn → Ảnh → Đặt trong ô). Ảnh ở cột A…H thuộc phương án đó, ở cột Lời giải thuộc lời giải.</t>
  </si>
  <si>
    <t>hinh-cau-3.png</t>
  </si>
  <si>
    <t>A … H</t>
  </si>
  <si>
    <t>TN, NĐ: các phương án. ĐS: các ý a, b, c, d (cột A–D). GHÉP: mỗi ô một cặp “trái =&gt; phải”. Có thể đánh dấu * trước phương án đúng thay cho cột Đáp án. Các cột này và cột Đáp án đã đặt sẵn kiểu Văn bản (Text) để Excel không tự đổi 1/2 thành ngày tháng.</t>
  </si>
  <si>
    <t>*Hà Nội</t>
  </si>
  <si>
    <t>Tuỳ loại</t>
  </si>
  <si>
    <t>Cách ghi theo từng loại câu ở bảng 3.</t>
  </si>
  <si>
    <t>Điểm của câu (để trống: 1 điểm). Dùng dấu phẩy hoặc dấu chấm.</t>
  </si>
  <si>
    <t>0,25</t>
  </si>
  <si>
    <t>Lời giải hoặc hướng dẫn chấm (giữ công thức). Ảnh dán ở cột này được đưa vào lời giải.</t>
  </si>
  <si>
    <t>Ta có …</t>
  </si>
  <si>
    <t>Tên ngân hàng câu hỏi trên Canvas. Để trống thì giữ ngân hàng của dòng trên; không có tên nào thì lấy tên tệp.</t>
  </si>
  <si>
    <t>Toán 12 – Chương 1</t>
  </si>
  <si>
    <t>Nên có</t>
  </si>
  <si>
    <t>NB, TH, VD, VDC — hiện trong tên câu trên Canvas (“Câu 3 [TH]”).</t>
  </si>
  <si>
    <t>Chủ đề / bài học, giúp thầy cô sắp xếp câu hỏi.</t>
  </si>
  <si>
    <t>3. LOẠI CÂU VÀ CÁCH GHI ĐÁP ÁN</t>
  </si>
  <si>
    <t>Cách soạn (cột Nội dung và A–H)</t>
  </si>
  <si>
    <t>Cột Đáp án</t>
  </si>
  <si>
    <t>Trên Canvas</t>
  </si>
  <si>
    <t>Phương án ở các cột A–H, đúng một phương án đúng.</t>
  </si>
  <si>
    <t>Một chữ cái: B</t>
  </si>
  <si>
    <t>Multiple Choice</t>
  </si>
  <si>
    <t>Phương án ở các cột A–H, từ hai phương án đúng trở lên.</t>
  </si>
  <si>
    <t>Các chữ cái: A, C</t>
  </si>
  <si>
    <t>Multiple Answers</t>
  </si>
  <si>
    <t>Các ý a, b, c, d ở cột A–D (dạng đề THPT từ 2025).</t>
  </si>
  <si>
    <t>ĐSĐS  hoặc  a-Đ, b-S, c-Đ, d-S</t>
  </si>
  <si>
    <t>Multiple Dropdowns (hoặc tách thành các câu Đúng/Sai)</t>
  </si>
  <si>
    <t>Không dùng cột A–H.</t>
  </si>
  <si>
    <t>Các cách viết đúng ngăn bằng dấu ; ví dụ 8/3; 2,67</t>
  </si>
  <si>
    <t>Short Answer</t>
  </si>
  <si>
    <t>12,5  hoặc  12,5 ± 0,1  hoặc  khoảng 1,5 .. 2</t>
  </si>
  <si>
    <t>Numerical</t>
  </si>
  <si>
    <t>Ô [[đáp án]] trong nội dung; nhiều cách viết: [[8/3|2,67]].</t>
  </si>
  <si>
    <t>Để trống</t>
  </si>
  <si>
    <t>Fill In Multiple Blanks</t>
  </si>
  <si>
    <t>Ô [[sai|*đúng|sai]] trong nội dung, dấu * trước lựa chọn đúng.</t>
  </si>
  <si>
    <t>Multiple Dropdowns</t>
  </si>
  <si>
    <t>Mỗi ô A–H một cặp “trái =&gt; phải”. Ô không có =&gt; (hoặc ghi “Nhiễu: x; y”) là vế phải gây nhiễu.</t>
  </si>
  <si>
    <t>Matching</t>
  </si>
  <si>
    <t>Ghi hướng dẫn chấm ở cột Lời giải.</t>
  </si>
  <si>
    <t>Đáp án tóm tắt (tuỳ chọn)</t>
  </si>
  <si>
    <t>Essay (chấm tay)</t>
  </si>
  <si>
    <t>Nội dung là đoạn văn / số liệu dùng chung cho các dòng bên dưới, đến dòng ĐOẠN kế tiếp; dòng ĐOẠN ghi “HẾT” để kết thúc.</t>
  </si>
  <si>
    <t>—</t>
  </si>
  <si>
    <t>Chèn vào đầu mỗi câu</t>
  </si>
  <si>
    <t>4. LƯU Ý</t>
  </si>
  <si>
    <t>Công thức</t>
  </si>
  <si>
    <t>Gõ LaTeX giữa hai dấu $, ví dụ $\frac{1}{2}$, $\sqrt{x+1}$, $x^2$, $\vec{a}$, $\int_0^1 f(x)\,dx$, $\begin{cases} x+y=3\\ x-y=1 \end{cases}$ — công cụ tự chuyển thành công thức trên Canvas. Không dùng Equation, Text Box hay Shapes của Excel: công cụ không đọc được (sẽ báo).</t>
  </si>
  <si>
    <t>Phân số, ngày</t>
  </si>
  <si>
    <t>Ở cột không đặt kiểu Văn bản (Nội dung, Lời giải, Điểm…), gõ riêng 1/2 hay 8/3 thì Excel tự đổi thành ngày tháng và công cụ sẽ báo lỗi: gõ thêm dấu nháy đơn phía trước ('1/2) hoặc định dạng ô là Văn bản (Text). Ô định dạng % hay Phân số (Fraction) được đọc như Excel hiển thị.</t>
  </si>
  <si>
    <t>Số thập phân</t>
  </si>
  <si>
    <t>Viết bằng dấu phẩy như thường lệ (2,5). Câu SỐ: Canvas chỉ hiểu dấu chấm nên học sinh phải gõ 2.5 — hãy nhắc trong đề; muốn chấm đúng cả 2,5 lẫn 2.5 thì dùng loại TLN.</t>
  </si>
  <si>
    <t>Dùng ảnh PNG hoặc JPG. Không dùng ảnh EMF, WMF, SVG — Canvas không hiển thị được.</t>
  </si>
  <si>
    <t>Ô gộp</t>
  </si>
  <si>
    <t>Ô gộp ở các cột Loại câu, Điểm, Ngân hàng, Mức độ, Chủ đề được hiểu cho mọi dòng trong vùng gộp. Không gộp ô ở cột Nội dung, A…H, Đáp án.</t>
  </si>
  <si>
    <t>Đúng/Sai</t>
  </si>
  <si>
    <t>Canvas chấm câu Đúng/Sai theo từng ý (mỗi ý đúng = điểm câu ÷ số ý); thang 0,1 – 0,25 – 0,5 – 1 điểm của Bộ GD&amp;ĐT không áp dụng được.</t>
  </si>
  <si>
    <t>Lưu tệp</t>
  </si>
  <si>
    <t>Lưu dạng Excel Workbook (.xlsx). Tệp .xls cũ, .csv hay Google Sheets: mở rồi lưu (hoặc tải về) dạng .xlsx trước khi nạp.</t>
  </si>
  <si>
    <t>Giá trị của biểu thức $\frac{1}{2}+\frac{1}{3}$ bằng</t>
  </si>
  <si>
    <t>5/6</t>
  </si>
  <si>
    <t>2/5</t>
  </si>
  <si>
    <t>1/6</t>
  </si>
  <si>
    <t>5/12</t>
  </si>
  <si>
    <t>Quy đồng mẫu số: $\frac{3}{6}+\frac{2}{6}=\frac{5}{6}$.</t>
  </si>
  <si>
    <t>Cộng phân số</t>
  </si>
  <si>
    <t>2/4</t>
  </si>
  <si>
    <t>3/5</t>
  </si>
  <si>
    <t>50/100</t>
  </si>
  <si>
    <t>4/6</t>
  </si>
  <si>
    <t>A, C</t>
  </si>
  <si>
    <t>Phân số bằng nhau</t>
  </si>
  <si>
    <t>Một chiếc bánh được chia thành 8 phần bằng nhau.
An ăn 3 phần, em An ăn 2 phần.
Dựa vào thông tin trên, trả lời hai câu tiếp theo.</t>
  </si>
  <si>
    <t>Hai bạn đã ăn bao nhiêu phần chiếc bánh?</t>
  </si>
  <si>
    <t>3/8</t>
  </si>
  <si>
    <t>5/8</t>
  </si>
  <si>
    <t>2/8</t>
  </si>
  <si>
    <t>1/2</t>
  </si>
  <si>
    <t>Phần bánh còn lại chiếm bao nhiêu phần chiếc bánh? (viết dạng phân số tối giản)</t>
  </si>
  <si>
    <t>Trừ phân số</t>
  </si>
  <si>
    <t>Cho phân số $\frac{6}{8}$. Mỗi khẳng định sau đúng hay sai?</t>
  </si>
  <si>
    <t>Phân số đã cho bằng $\frac{3}{4}$</t>
  </si>
  <si>
    <t>Phân số đã cho lớn hơn 1</t>
  </si>
  <si>
    <t>Phân số đã cho là phân số tối giản</t>
  </si>
  <si>
    <t>Phân số đã cho bằng 0,75</t>
  </si>
  <si>
    <t>Đ S S Đ</t>
  </si>
  <si>
    <t>Rút gọn phân số</t>
  </si>
  <si>
    <t>Viết $3 : 4$ dưới dạng số thập phân (dùng dấu chấm, ví dụ 1.5).</t>
  </si>
  <si>
    <t>0,75</t>
  </si>
  <si>
    <t>Điền số thích hợp: 1/2 = [[2]]/4 = 3/[[6]]</t>
  </si>
  <si>
    <t>Phân số $\frac{2}{4}$ [[*bằng|lớn hơn|nhỏ hơn]] $\frac{1}{2}$, còn $\frac{3}{4}$ [[bằng|*lớn hơn|nhỏ hơn]] $\frac{1}{2}$.</t>
  </si>
  <si>
    <t>So sánh phân số</t>
  </si>
  <si>
    <t>Ghép mỗi phân số với số thập phân bằng nó.</t>
  </si>
  <si>
    <t>1/2 =&gt; 0,5</t>
  </si>
  <si>
    <t>1/4 =&gt; 0,25</t>
  </si>
  <si>
    <t>3/4 =&gt; 0,75</t>
  </si>
  <si>
    <t>Nhiễu: 0,2; 1,5</t>
  </si>
  <si>
    <t>So sánh hai phân số $\frac{3}{5}$ và $\frac{4}{7}$. Trình bày cách làm.</t>
  </si>
  <si>
    <t>3/5 &gt; 4/7</t>
  </si>
  <si>
    <t>Quy đồng: $\frac{3}{5}=\frac{21}{35}$, $\frac{4}{7}=\frac{20}{35}$.
Vì 21 &gt; 20 nên $\frac{3}{5}&gt;\frac{4}{7}$.</t>
  </si>
  <si>
    <t>Hình nào được tô màu đỏ?</t>
  </si>
  <si>
    <t>Cả hai hình</t>
  </si>
  <si>
    <t>Không hình nào</t>
  </si>
  <si>
    <t>Hình học</t>
  </si>
  <si>
    <t>Cách đọc đúng của phân số $\frac{3}{7}$ là</t>
  </si>
  <si>
    <t>bảy phần ba</t>
  </si>
  <si>
    <t>ba bảy</t>
  </si>
  <si>
    <t>bảy ba</t>
  </si>
  <si>
    <t>Khái niệm phân số</t>
  </si>
  <si>
    <r>
      <t xml:space="preserve">Chọn các phân số bằng $\frac{1}{2}$:
</t>
    </r>
    <r>
      <rPr>
        <i/>
        <sz val="11"/>
        <color rgb="FF1F2937"/>
        <rFont val="Calibri"/>
        <family val="2"/>
      </rPr>
      <t>(chọn tất cả đáp án đúng)</t>
    </r>
  </si>
  <si>
    <r>
      <t xml:space="preserve">ba </t>
    </r>
    <r>
      <rPr>
        <b/>
        <sz val="11"/>
        <color rgb="FF1F2937"/>
        <rFont val="Calibri"/>
        <family val="2"/>
      </rPr>
      <t>phần</t>
    </r>
    <r>
      <rPr>
        <sz val="11"/>
        <color rgb="FF1F2937"/>
        <rFont val="Calibri"/>
        <family val="2"/>
      </rPr>
      <t xml:space="preserve"> bảy</t>
    </r>
  </si>
  <si>
    <t>Toán 6 – Phân số (thử)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</si>
</sst>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1F2937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i/>
      <sz val="11"/>
      <color rgb="FF23328C"/>
      <name val="Calibri"/>
      <family val="2"/>
    </font>
    <font>
      <b/>
      <sz val="12"/>
      <color rgb="FFD21235"/>
      <name val="Calibri"/>
      <family val="2"/>
    </font>
    <font>
      <b/>
      <sz val="11"/>
      <color rgb="FF23328C"/>
      <name val="Calibri"/>
      <family val="2"/>
    </font>
    <font>
      <i/>
      <sz val="11"/>
      <color rgb="FF1F2937"/>
      <name val="Calibri"/>
      <family val="2"/>
    </font>
    <font>
      <b/>
      <sz val="11"/>
      <color rgb="FF1F2937"/>
      <name val="Calibri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23328C"/>
        <bgColor indexed="64"/>
      </patternFill>
    </fill>
    <fill>
      <patternFill patternType="solid">
        <fgColor rgb="FFEEF1FA"/>
        <bgColor indexed="64"/>
      </patternFill>
    </fill>
  </fills>
  <borders count="4">
    <border>
      <left/>
      <right/>
      <top/>
      <bottom/>
      <diagonal/>
    </border>
    <border>
      <left style="thin">
        <color rgb="FFD5DAE5"/>
      </left>
      <right style="thin">
        <color rgb="FFD5DAE5"/>
      </right>
      <top style="thin">
        <color rgb="FFD5DAE5"/>
      </top>
      <bottom style="thin">
        <color rgb="FFD5DAE5"/>
      </bottom>
      <diagonal/>
    </border>
    <border>
      <left/>
      <right/>
      <top/>
      <bottom style="medium">
        <color rgb="FFD21235"/>
      </bottom>
      <diagonal/>
    </border>
    <border>
      <left/>
      <right/>
      <top style="thin">
        <color rgb="FFD5DAE5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2" borderId="0" xfId="0" applyFont="1" applyFill="1" applyAlignment="1">
      <alignment vertical="center" inden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2" xfId="0" applyFont="1" applyBorder="1"/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4</xdr:row>
      <xdr:rowOff>38100</xdr:rowOff>
    </xdr:from>
    <xdr:to>
      <xdr:col>3</xdr:col>
      <xdr:colOff>1562100</xdr:colOff>
      <xdr:row>4</xdr:row>
      <xdr:rowOff>1181100</xdr:rowOff>
    </xdr:to>
    <xdr:pic>
      <xdr:nvPicPr>
        <xdr:cNvPr id="4" name="Picture 3" descr="Hình tròn chia 8 phần bằng nhau">
          <a:extLst>
            <a:ext uri="{FF2B5EF4-FFF2-40B4-BE49-F238E27FC236}">
              <a16:creationId xmlns:a16="http://schemas.microsoft.com/office/drawing/2014/main" id="{0CDC8452-C8D4-FE27-CFBC-1AABA038E2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5" y="1790700"/>
          <a:ext cx="1524000" cy="11430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C:\Users\GiaoVien\Pictures\hinh-do.png</v>
  </rv>
  <rv s="0">
    <v>1</v>
    <v>5</v>
    <v>C:\Users\GiaoVien\Pictures\hinh-xanh.png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6" style="9" customWidth="1"/>
    <col min="2" max="2" width="21" style="9" customWidth="1"/>
    <col min="3" max="3" width="58" style="5" customWidth="1"/>
    <col min="4" max="4" width="29" style="5" customWidth="1"/>
    <col min="5" max="8" width="22" style="7" customWidth="1"/>
    <col min="9" max="12" width="13" style="7" customWidth="1"/>
    <col min="13" max="13" width="15" style="8" customWidth="1"/>
    <col min="14" max="14" width="7" style="9" customWidth="1"/>
    <col min="15" max="15" width="44" style="5" customWidth="1"/>
    <col min="16" max="16" width="23" style="5" customWidth="1"/>
    <col min="17" max="17" width="9" style="9" customWidth="1"/>
    <col min="18" max="18" width="18" style="5" customWidth="1"/>
  </cols>
  <sheetData>
    <row r="1" spans="1:18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x14ac:dyDescent="0.25">
      <c r="A2" s="9">
        <f>IF(LEFT(B2,4)="ĐOẠN","",MAX($A$1:A1)+1)</f>
        <v>1</v>
      </c>
      <c r="B2" s="9" t="s">
        <v>18</v>
      </c>
      <c r="C2" s="5" t="s">
        <v>119</v>
      </c>
      <c r="E2" s="7" t="s">
        <v>120</v>
      </c>
      <c r="F2" s="7" t="s">
        <v>121</v>
      </c>
      <c r="G2" s="7" t="s">
        <v>122</v>
      </c>
      <c r="H2" s="7" t="s">
        <v>123</v>
      </c>
      <c r="M2" s="8" t="s">
        <v>4</v>
      </c>
      <c r="N2" s="9">
        <v>0.25</v>
      </c>
      <c r="O2" s="5" t="s">
        <v>124</v>
      </c>
      <c r="P2" s="14" t="s">
        <v>171</v>
      </c>
      <c r="Q2" s="9" t="s">
        <v>19</v>
      </c>
      <c r="R2" s="5" t="s">
        <v>125</v>
      </c>
    </row>
    <row r="3" spans="1:18" ht="30" x14ac:dyDescent="0.25">
      <c r="A3" s="9">
        <f>IF(LEFT(B3,4)="ĐOẠN","",MAX($A$1:A2)+1)</f>
        <v>2</v>
      </c>
      <c r="B3" s="9" t="s">
        <v>22</v>
      </c>
      <c r="C3" s="5" t="s">
        <v>169</v>
      </c>
      <c r="E3" s="7" t="s">
        <v>126</v>
      </c>
      <c r="F3" s="7" t="s">
        <v>127</v>
      </c>
      <c r="G3" s="7" t="s">
        <v>128</v>
      </c>
      <c r="H3" s="7" t="s">
        <v>129</v>
      </c>
      <c r="M3" s="8" t="s">
        <v>130</v>
      </c>
      <c r="N3" s="9">
        <f>1/2</f>
        <v>0.5</v>
      </c>
      <c r="P3" s="12"/>
      <c r="Q3" s="9" t="s">
        <v>21</v>
      </c>
      <c r="R3" s="5" t="s">
        <v>131</v>
      </c>
    </row>
    <row r="4" spans="1:18" ht="45" x14ac:dyDescent="0.25">
      <c r="A4" s="9" t="str">
        <f>IF(LEFT(B4,4)="ĐOẠN","",MAX($A$1:A3)+1)</f>
        <v/>
      </c>
      <c r="B4" s="9" t="s">
        <v>24</v>
      </c>
      <c r="C4" s="5" t="s">
        <v>132</v>
      </c>
      <c r="P4" s="12"/>
    </row>
    <row r="5" spans="1:18" ht="99.95" customHeight="1" x14ac:dyDescent="0.25">
      <c r="A5" s="9">
        <f>IF(LEFT(B5,4)="ĐOẠN","",MAX($A$1:A4)+1)</f>
        <v>3</v>
      </c>
      <c r="B5" s="9" t="s">
        <v>18</v>
      </c>
      <c r="C5" s="5" t="s">
        <v>133</v>
      </c>
      <c r="E5" s="7" t="s">
        <v>134</v>
      </c>
      <c r="F5" s="7" t="s">
        <v>135</v>
      </c>
      <c r="G5" s="7" t="s">
        <v>136</v>
      </c>
      <c r="H5" s="7" t="s">
        <v>137</v>
      </c>
      <c r="M5" s="8" t="s">
        <v>5</v>
      </c>
      <c r="N5" s="9">
        <v>0.25</v>
      </c>
      <c r="P5" s="12"/>
      <c r="Q5" s="9" t="s">
        <v>21</v>
      </c>
      <c r="R5" s="5" t="s">
        <v>125</v>
      </c>
    </row>
    <row r="6" spans="1:18" ht="30" x14ac:dyDescent="0.25">
      <c r="A6" s="9">
        <f>IF(LEFT(B6,4)="ĐOẠN","",MAX($A$1:A5)+1)</f>
        <v>4</v>
      </c>
      <c r="B6" s="9" t="s">
        <v>27</v>
      </c>
      <c r="C6" s="5" t="s">
        <v>138</v>
      </c>
      <c r="M6" s="8" t="s">
        <v>134</v>
      </c>
      <c r="N6" s="9">
        <v>0.25</v>
      </c>
      <c r="P6" s="12"/>
      <c r="Q6" s="9" t="s">
        <v>21</v>
      </c>
      <c r="R6" s="5" t="s">
        <v>139</v>
      </c>
    </row>
    <row r="7" spans="1:18" x14ac:dyDescent="0.25">
      <c r="A7" s="9" t="str">
        <f>IF(LEFT(B7,4)="ĐOẠN","",MAX($A$1:A6)+1)</f>
        <v/>
      </c>
      <c r="B7" s="9" t="s">
        <v>24</v>
      </c>
      <c r="C7" s="5" t="s">
        <v>25</v>
      </c>
      <c r="P7" s="12"/>
    </row>
    <row r="8" spans="1:18" ht="30" x14ac:dyDescent="0.25">
      <c r="A8" s="9">
        <f>IF(LEFT(B8,4)="ĐOẠN","",MAX($A$1:A7)+1)</f>
        <v>5</v>
      </c>
      <c r="B8" s="9" t="s">
        <v>26</v>
      </c>
      <c r="C8" s="5" t="s">
        <v>140</v>
      </c>
      <c r="E8" s="7" t="s">
        <v>141</v>
      </c>
      <c r="F8" s="7" t="s">
        <v>142</v>
      </c>
      <c r="G8" s="7" t="s">
        <v>143</v>
      </c>
      <c r="H8" s="7" t="s">
        <v>144</v>
      </c>
      <c r="M8" s="8" t="s">
        <v>145</v>
      </c>
      <c r="N8" s="9">
        <v>1</v>
      </c>
      <c r="P8" s="12"/>
      <c r="Q8" s="9" t="s">
        <v>21</v>
      </c>
      <c r="R8" s="5" t="s">
        <v>146</v>
      </c>
    </row>
    <row r="9" spans="1:18" x14ac:dyDescent="0.25">
      <c r="A9" s="9">
        <f>A8+1</f>
        <v>6</v>
      </c>
      <c r="B9" s="9" t="s">
        <v>28</v>
      </c>
      <c r="C9" s="5" t="s">
        <v>147</v>
      </c>
      <c r="M9" s="8" t="s">
        <v>148</v>
      </c>
      <c r="N9" s="9">
        <v>0.5</v>
      </c>
      <c r="P9" s="12"/>
      <c r="Q9" s="9" t="s">
        <v>23</v>
      </c>
      <c r="R9" s="5" t="s">
        <v>110</v>
      </c>
    </row>
    <row r="10" spans="1:18" x14ac:dyDescent="0.25">
      <c r="A10" s="9">
        <f t="shared" ref="A10:A15" si="0">A9+1</f>
        <v>7</v>
      </c>
      <c r="B10" s="9" t="s">
        <v>30</v>
      </c>
      <c r="C10" s="5" t="s">
        <v>149</v>
      </c>
      <c r="P10" s="12"/>
      <c r="Q10" s="9" t="s">
        <v>19</v>
      </c>
      <c r="R10" s="5" t="s">
        <v>131</v>
      </c>
    </row>
    <row r="11" spans="1:18" ht="30" x14ac:dyDescent="0.25">
      <c r="A11" s="9">
        <f t="shared" si="0"/>
        <v>8</v>
      </c>
      <c r="B11" s="9" t="s">
        <v>31</v>
      </c>
      <c r="C11" s="5" t="s">
        <v>150</v>
      </c>
      <c r="P11" s="12"/>
      <c r="Q11" s="9" t="s">
        <v>21</v>
      </c>
      <c r="R11" s="5" t="s">
        <v>151</v>
      </c>
    </row>
    <row r="12" spans="1:18" x14ac:dyDescent="0.25">
      <c r="A12" s="9">
        <f t="shared" si="0"/>
        <v>9</v>
      </c>
      <c r="B12" s="9" t="s">
        <v>32</v>
      </c>
      <c r="C12" s="5" t="s">
        <v>152</v>
      </c>
      <c r="E12" s="7" t="s">
        <v>153</v>
      </c>
      <c r="F12" s="7" t="s">
        <v>154</v>
      </c>
      <c r="G12" s="7" t="s">
        <v>155</v>
      </c>
      <c r="H12" s="7" t="s">
        <v>156</v>
      </c>
      <c r="N12" s="9">
        <v>1</v>
      </c>
      <c r="P12" s="12"/>
      <c r="Q12" s="9" t="s">
        <v>19</v>
      </c>
      <c r="R12" s="5" t="s">
        <v>110</v>
      </c>
    </row>
    <row r="13" spans="1:18" ht="45" x14ac:dyDescent="0.25">
      <c r="A13" s="9">
        <f t="shared" si="0"/>
        <v>10</v>
      </c>
      <c r="B13" s="9" t="s">
        <v>29</v>
      </c>
      <c r="C13" s="5" t="s">
        <v>157</v>
      </c>
      <c r="M13" s="8" t="s">
        <v>158</v>
      </c>
      <c r="N13" s="9">
        <v>1</v>
      </c>
      <c r="O13" s="5" t="s">
        <v>159</v>
      </c>
      <c r="P13" s="12"/>
      <c r="Q13" s="9" t="s">
        <v>23</v>
      </c>
      <c r="R13" s="5" t="s">
        <v>151</v>
      </c>
    </row>
    <row r="14" spans="1:18" x14ac:dyDescent="0.25">
      <c r="A14" s="9">
        <f t="shared" si="0"/>
        <v>11</v>
      </c>
      <c r="B14" s="9" t="s">
        <v>18</v>
      </c>
      <c r="C14" s="5" t="s">
        <v>160</v>
      </c>
      <c r="E14" s="7" t="e" vm="1">
        <v>#VALUE!</v>
      </c>
      <c r="F14" s="7" t="e" vm="2">
        <v>#VALUE!</v>
      </c>
      <c r="G14" s="7" t="s">
        <v>161</v>
      </c>
      <c r="H14" s="7" t="s">
        <v>162</v>
      </c>
      <c r="M14" s="8" t="s">
        <v>4</v>
      </c>
      <c r="P14" s="12"/>
      <c r="Q14" s="9" t="s">
        <v>19</v>
      </c>
      <c r="R14" s="5" t="s">
        <v>163</v>
      </c>
    </row>
    <row r="15" spans="1:18" x14ac:dyDescent="0.25">
      <c r="A15" s="9">
        <f t="shared" si="0"/>
        <v>12</v>
      </c>
      <c r="B15" s="9" t="s">
        <v>18</v>
      </c>
      <c r="C15" s="5" t="s">
        <v>164</v>
      </c>
      <c r="E15" s="7" t="s">
        <v>170</v>
      </c>
      <c r="F15" s="7" t="s">
        <v>165</v>
      </c>
      <c r="G15" s="7" t="s">
        <v>166</v>
      </c>
      <c r="H15" s="7" t="s">
        <v>167</v>
      </c>
      <c r="M15" s="8" t="s">
        <v>4</v>
      </c>
      <c r="P15" s="12"/>
      <c r="Q15" s="9" t="s">
        <v>19</v>
      </c>
      <c r="R15" s="5" t="s">
        <v>168</v>
      </c>
    </row>
  </sheetData>
  <autoFilter ref="A1:R15" xr:uid="{00000000-0001-0000-0000-000000000000}"/>
  <mergeCells count="1">
    <mergeCell ref="P2:P15"/>
  </mergeCells>
  <dataValidations count="5">
    <dataValidation type="list" errorStyle="warning" allowBlank="1" showInputMessage="1" showErrorMessage="1" errorTitle="Loại câu" error="Nên chọn loại câu trong danh sách (hoặc gõ mã ngắn: TN, NĐ, ĐS, TLN, SỐ, ĐIỀN, CHỌN, GHÉP, TL, ĐOẠN). Để trống: công cụ tự nhận loại." promptTitle="Loại câu" prompt="Chọn trong danh sách. Để trống thì công cụ tự nhận loại theo nội dung và cột Đáp án." sqref="B2:B983" xr:uid="{00000000-0002-0000-0000-000000000000}">
      <formula1>"TN – Một đáp án,NĐ – Nhiều đáp án,ĐS – Đúng/Sai,TLN – Trả lời ngắn,SỐ – Điền số,ĐIỀN – Điền khuyết,CHỌN – Chọn từ danh sách,GHÉP – Ghép nối,TL – Tự luận,ĐOẠN – Đoạn dẫn"</formula1>
    </dataValidation>
    <dataValidation type="list" errorStyle="warning" allowBlank="1" showInputMessage="1" showErrorMessage="1" errorTitle="Mức độ" error="Mức độ là NB, TH, VD hoặc VDC." promptTitle="Mức độ" prompt="NB – Nhận biết, TH – Thông hiểu, VD – Vận dụng, VDC – Vận dụng cao." sqref="Q2:Q983" xr:uid="{00000000-0002-0000-0000-000001000000}">
      <formula1>"NB,TH,VD,VDC"</formula1>
    </dataValidation>
    <dataValidation allowBlank="1" showInputMessage="1" promptTitle="Nội dung câu hỏi" prompt="Xuống dòng: Alt + Enter. Công thức: $x^2$, $\frac{1}{2}$. Ô điền: [[đáp án]]. Ô chọn: [[sai|*đúng|sai]]." sqref="C2:C983" xr:uid="{00000000-0002-0000-0000-000002000000}"/>
    <dataValidation allowBlank="1" showInputMessage="1" promptTitle="Phương án / ý / cặp ghép" prompt="TN, NĐ: phương án (có thể ghi * trước phương án đúng). ĐS: các ý a, b, c, d. GHÉP: trái =&gt; phải; ô không có =&gt; hoặc ghi Nhiễu: x; y là vế phải gây nhiễu." sqref="E2:L983" xr:uid="{00000000-0002-0000-0000-000003000000}"/>
    <dataValidation allowBlank="1" showInputMessage="1" promptTitle="Đáp án" prompt="TN: B · NĐ: A, C · ĐS: ĐSĐS · TLN: 8/3; 2,67 · SỐ: 12,5 hoặc 12,5 ± 0,1 hoặc 1,5 .. 2 · ĐIỀN, CHỌN, GHÉP: để trống." sqref="M2:M983" xr:uid="{00000000-0002-0000-0000-000004000000}"/>
  </dataValidations>
  <pageMargins left="0.4" right="0.4" top="0.6" bottom="0.6" header="0.3" footer="0.3"/>
  <pageSetup paperSize="9" fitToHeight="0" orientation="landscape"/>
  <headerFooter>
    <oddFooter>&amp;L&amp;8Trường Ngôi Sao Hoàng Mai – Mẫu ngân hàng câu hỏi Canvas&amp;R&amp;8Trang &amp;P/&amp;N</oddFooter>
  </headerFooter>
  <ignoredErrors>
    <ignoredError sqref="A1:R1 A16:R983 D2 I2:L2 D3 I3:L3 O3 D4:O4 D5 I5:L5 O5 D6:L6 O6 D7:O7 D8 I8:L8 O8 D9:L9 O9 D10:O10 D11:O11 D12 I12:M12 D13:L13 D14 I14:L14 N14:O14 D15 I15:L15 N15:O15 O12 Q4:R4 Q7:R7" numberStoredAsText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5"/>
  <sheetViews>
    <sheetView showGridLines="0" workbookViewId="0"/>
  </sheetViews>
  <sheetFormatPr defaultRowHeight="15" x14ac:dyDescent="0.25"/>
  <cols>
    <col min="1" max="1" width="24" customWidth="1"/>
    <col min="2" max="2" width="62" customWidth="1"/>
    <col min="3" max="3" width="36" customWidth="1"/>
    <col min="4" max="4" width="13" customWidth="1"/>
  </cols>
  <sheetData>
    <row r="1" spans="1:4" ht="33.950000000000003" customHeight="1" x14ac:dyDescent="0.25">
      <c r="A1" s="10" t="s">
        <v>33</v>
      </c>
      <c r="B1" s="10"/>
      <c r="C1" s="10"/>
      <c r="D1" s="10"/>
    </row>
    <row r="2" spans="1:4" ht="20.100000000000001" customHeight="1" x14ac:dyDescent="0.25">
      <c r="A2" s="11" t="s">
        <v>34</v>
      </c>
      <c r="B2" s="11"/>
      <c r="C2" s="11"/>
      <c r="D2" s="11"/>
    </row>
    <row r="3" spans="1:4" ht="48.95" customHeight="1" x14ac:dyDescent="0.25">
      <c r="A3" s="4" t="s">
        <v>35</v>
      </c>
      <c r="B3" s="12" t="s">
        <v>36</v>
      </c>
      <c r="C3" s="12"/>
      <c r="D3" s="12"/>
    </row>
    <row r="5" spans="1:4" ht="21.95" customHeight="1" x14ac:dyDescent="0.25">
      <c r="A5" s="13" t="s">
        <v>37</v>
      </c>
      <c r="B5" s="13"/>
      <c r="C5" s="13"/>
      <c r="D5" s="13"/>
    </row>
    <row r="6" spans="1:4" ht="33.950000000000003" customHeight="1" x14ac:dyDescent="0.25">
      <c r="A6" s="4" t="s">
        <v>38</v>
      </c>
      <c r="B6" s="12" t="s">
        <v>39</v>
      </c>
      <c r="C6" s="12"/>
      <c r="D6" s="12"/>
    </row>
    <row r="7" spans="1:4" ht="18.95" customHeight="1" x14ac:dyDescent="0.25">
      <c r="A7" s="4" t="s">
        <v>40</v>
      </c>
      <c r="B7" s="12" t="s">
        <v>41</v>
      </c>
      <c r="C7" s="12"/>
      <c r="D7" s="12"/>
    </row>
    <row r="8" spans="1:4" ht="33.950000000000003" customHeight="1" x14ac:dyDescent="0.25">
      <c r="A8" s="4" t="s">
        <v>42</v>
      </c>
      <c r="B8" s="12" t="s">
        <v>43</v>
      </c>
      <c r="C8" s="12"/>
      <c r="D8" s="12"/>
    </row>
    <row r="9" spans="1:4" ht="48.95" customHeight="1" x14ac:dyDescent="0.25">
      <c r="A9" s="4" t="s">
        <v>44</v>
      </c>
      <c r="B9" s="12" t="s">
        <v>45</v>
      </c>
      <c r="C9" s="12"/>
      <c r="D9" s="12"/>
    </row>
    <row r="11" spans="1:4" ht="21.95" customHeight="1" x14ac:dyDescent="0.25">
      <c r="A11" s="13" t="s">
        <v>46</v>
      </c>
      <c r="B11" s="13"/>
      <c r="C11" s="13"/>
      <c r="D11" s="13"/>
    </row>
    <row r="12" spans="1:4" x14ac:dyDescent="0.25">
      <c r="A12" s="1" t="s">
        <v>47</v>
      </c>
      <c r="B12" s="1" t="s">
        <v>48</v>
      </c>
      <c r="C12" s="1" t="s">
        <v>49</v>
      </c>
      <c r="D12" s="1" t="s">
        <v>50</v>
      </c>
    </row>
    <row r="13" spans="1:4" ht="30" x14ac:dyDescent="0.25">
      <c r="A13" s="6" t="s">
        <v>0</v>
      </c>
      <c r="B13" s="2" t="s">
        <v>51</v>
      </c>
      <c r="C13" s="2" t="s">
        <v>52</v>
      </c>
      <c r="D13" s="3" t="s">
        <v>53</v>
      </c>
    </row>
    <row r="14" spans="1:4" ht="30" x14ac:dyDescent="0.25">
      <c r="A14" s="6" t="s">
        <v>1</v>
      </c>
      <c r="B14" s="2" t="s">
        <v>54</v>
      </c>
      <c r="C14" s="2" t="s">
        <v>18</v>
      </c>
      <c r="D14" s="3" t="s">
        <v>53</v>
      </c>
    </row>
    <row r="15" spans="1:4" ht="45" x14ac:dyDescent="0.25">
      <c r="A15" s="6" t="s">
        <v>2</v>
      </c>
      <c r="B15" s="2" t="s">
        <v>55</v>
      </c>
      <c r="C15" s="2" t="s">
        <v>56</v>
      </c>
      <c r="D15" s="3" t="s">
        <v>57</v>
      </c>
    </row>
    <row r="16" spans="1:4" ht="75" x14ac:dyDescent="0.25">
      <c r="A16" s="6" t="s">
        <v>3</v>
      </c>
      <c r="B16" s="2" t="s">
        <v>58</v>
      </c>
      <c r="C16" s="2" t="s">
        <v>59</v>
      </c>
      <c r="D16" s="3" t="s">
        <v>53</v>
      </c>
    </row>
    <row r="17" spans="1:4" ht="60" x14ac:dyDescent="0.25">
      <c r="A17" s="6" t="s">
        <v>60</v>
      </c>
      <c r="B17" s="2" t="s">
        <v>61</v>
      </c>
      <c r="C17" s="2" t="s">
        <v>62</v>
      </c>
      <c r="D17" s="3" t="s">
        <v>63</v>
      </c>
    </row>
    <row r="18" spans="1:4" x14ac:dyDescent="0.25">
      <c r="A18" s="6" t="s">
        <v>12</v>
      </c>
      <c r="B18" s="2" t="s">
        <v>64</v>
      </c>
      <c r="C18" s="2" t="s">
        <v>5</v>
      </c>
      <c r="D18" s="3" t="s">
        <v>63</v>
      </c>
    </row>
    <row r="19" spans="1:4" x14ac:dyDescent="0.25">
      <c r="A19" s="6" t="s">
        <v>13</v>
      </c>
      <c r="B19" s="2" t="s">
        <v>65</v>
      </c>
      <c r="C19" s="2" t="s">
        <v>66</v>
      </c>
      <c r="D19" s="3" t="s">
        <v>53</v>
      </c>
    </row>
    <row r="20" spans="1:4" ht="30" x14ac:dyDescent="0.25">
      <c r="A20" s="6" t="s">
        <v>14</v>
      </c>
      <c r="B20" s="2" t="s">
        <v>67</v>
      </c>
      <c r="C20" s="2" t="s">
        <v>68</v>
      </c>
      <c r="D20" s="3" t="s">
        <v>53</v>
      </c>
    </row>
    <row r="21" spans="1:4" ht="30" x14ac:dyDescent="0.25">
      <c r="A21" s="6" t="s">
        <v>15</v>
      </c>
      <c r="B21" s="2" t="s">
        <v>69</v>
      </c>
      <c r="C21" s="2" t="s">
        <v>70</v>
      </c>
      <c r="D21" s="3" t="s">
        <v>71</v>
      </c>
    </row>
    <row r="22" spans="1:4" x14ac:dyDescent="0.25">
      <c r="A22" s="6" t="s">
        <v>16</v>
      </c>
      <c r="B22" s="2" t="s">
        <v>72</v>
      </c>
      <c r="C22" s="2" t="s">
        <v>21</v>
      </c>
      <c r="D22" s="3" t="s">
        <v>53</v>
      </c>
    </row>
    <row r="23" spans="1:4" x14ac:dyDescent="0.25">
      <c r="A23" s="6" t="s">
        <v>17</v>
      </c>
      <c r="B23" s="2" t="s">
        <v>73</v>
      </c>
      <c r="C23" s="2" t="s">
        <v>20</v>
      </c>
      <c r="D23" s="3" t="s">
        <v>53</v>
      </c>
    </row>
    <row r="25" spans="1:4" ht="21.95" customHeight="1" x14ac:dyDescent="0.25">
      <c r="A25" s="13" t="s">
        <v>74</v>
      </c>
      <c r="B25" s="13"/>
      <c r="C25" s="13"/>
      <c r="D25" s="13"/>
    </row>
    <row r="26" spans="1:4" x14ac:dyDescent="0.25">
      <c r="A26" s="1" t="s">
        <v>1</v>
      </c>
      <c r="B26" s="1" t="s">
        <v>75</v>
      </c>
      <c r="C26" s="1" t="s">
        <v>76</v>
      </c>
      <c r="D26" s="1" t="s">
        <v>77</v>
      </c>
    </row>
    <row r="27" spans="1:4" ht="30" x14ac:dyDescent="0.25">
      <c r="A27" s="6" t="s">
        <v>18</v>
      </c>
      <c r="B27" s="2" t="s">
        <v>78</v>
      </c>
      <c r="C27" s="2" t="s">
        <v>79</v>
      </c>
      <c r="D27" s="3" t="s">
        <v>80</v>
      </c>
    </row>
    <row r="28" spans="1:4" ht="30" x14ac:dyDescent="0.25">
      <c r="A28" s="6" t="s">
        <v>22</v>
      </c>
      <c r="B28" s="2" t="s">
        <v>81</v>
      </c>
      <c r="C28" s="2" t="s">
        <v>82</v>
      </c>
      <c r="D28" s="3" t="s">
        <v>83</v>
      </c>
    </row>
    <row r="29" spans="1:4" ht="75" x14ac:dyDescent="0.25">
      <c r="A29" s="6" t="s">
        <v>26</v>
      </c>
      <c r="B29" s="2" t="s">
        <v>84</v>
      </c>
      <c r="C29" s="2" t="s">
        <v>85</v>
      </c>
      <c r="D29" s="3" t="s">
        <v>86</v>
      </c>
    </row>
    <row r="30" spans="1:4" ht="30" x14ac:dyDescent="0.25">
      <c r="A30" s="6" t="s">
        <v>27</v>
      </c>
      <c r="B30" s="2" t="s">
        <v>87</v>
      </c>
      <c r="C30" s="2" t="s">
        <v>88</v>
      </c>
      <c r="D30" s="3" t="s">
        <v>89</v>
      </c>
    </row>
    <row r="31" spans="1:4" ht="30" x14ac:dyDescent="0.25">
      <c r="A31" s="6" t="s">
        <v>28</v>
      </c>
      <c r="B31" s="2" t="s">
        <v>87</v>
      </c>
      <c r="C31" s="2" t="s">
        <v>90</v>
      </c>
      <c r="D31" s="3" t="s">
        <v>91</v>
      </c>
    </row>
    <row r="32" spans="1:4" ht="45" x14ac:dyDescent="0.25">
      <c r="A32" s="6" t="s">
        <v>30</v>
      </c>
      <c r="B32" s="2" t="s">
        <v>92</v>
      </c>
      <c r="C32" s="2" t="s">
        <v>93</v>
      </c>
      <c r="D32" s="3" t="s">
        <v>94</v>
      </c>
    </row>
    <row r="33" spans="1:4" ht="30" x14ac:dyDescent="0.25">
      <c r="A33" s="6" t="s">
        <v>31</v>
      </c>
      <c r="B33" s="2" t="s">
        <v>95</v>
      </c>
      <c r="C33" s="2" t="s">
        <v>93</v>
      </c>
      <c r="D33" s="3" t="s">
        <v>96</v>
      </c>
    </row>
    <row r="34" spans="1:4" ht="30" x14ac:dyDescent="0.25">
      <c r="A34" s="6" t="s">
        <v>32</v>
      </c>
      <c r="B34" s="2" t="s">
        <v>97</v>
      </c>
      <c r="C34" s="2" t="s">
        <v>93</v>
      </c>
      <c r="D34" s="3" t="s">
        <v>98</v>
      </c>
    </row>
    <row r="35" spans="1:4" ht="30" x14ac:dyDescent="0.25">
      <c r="A35" s="6" t="s">
        <v>29</v>
      </c>
      <c r="B35" s="2" t="s">
        <v>99</v>
      </c>
      <c r="C35" s="2" t="s">
        <v>100</v>
      </c>
      <c r="D35" s="3" t="s">
        <v>101</v>
      </c>
    </row>
    <row r="36" spans="1:4" ht="30" x14ac:dyDescent="0.25">
      <c r="A36" s="6" t="s">
        <v>24</v>
      </c>
      <c r="B36" s="2" t="s">
        <v>102</v>
      </c>
      <c r="C36" s="2" t="s">
        <v>103</v>
      </c>
      <c r="D36" s="3" t="s">
        <v>104</v>
      </c>
    </row>
    <row r="38" spans="1:4" ht="21.95" customHeight="1" x14ac:dyDescent="0.25">
      <c r="A38" s="13" t="s">
        <v>105</v>
      </c>
      <c r="B38" s="13"/>
      <c r="C38" s="13"/>
      <c r="D38" s="13"/>
    </row>
    <row r="39" spans="1:4" ht="48.95" customHeight="1" x14ac:dyDescent="0.25">
      <c r="A39" s="4" t="s">
        <v>106</v>
      </c>
      <c r="B39" s="12" t="s">
        <v>107</v>
      </c>
      <c r="C39" s="12"/>
      <c r="D39" s="12"/>
    </row>
    <row r="40" spans="1:4" ht="48.95" customHeight="1" x14ac:dyDescent="0.25">
      <c r="A40" s="4" t="s">
        <v>108</v>
      </c>
      <c r="B40" s="12" t="s">
        <v>109</v>
      </c>
      <c r="C40" s="12"/>
      <c r="D40" s="12"/>
    </row>
    <row r="41" spans="1:4" ht="33.950000000000003" customHeight="1" x14ac:dyDescent="0.25">
      <c r="A41" s="4" t="s">
        <v>110</v>
      </c>
      <c r="B41" s="12" t="s">
        <v>111</v>
      </c>
      <c r="C41" s="12"/>
      <c r="D41" s="12"/>
    </row>
    <row r="42" spans="1:4" ht="18.95" customHeight="1" x14ac:dyDescent="0.25">
      <c r="A42" s="4" t="s">
        <v>3</v>
      </c>
      <c r="B42" s="12" t="s">
        <v>112</v>
      </c>
      <c r="C42" s="12"/>
      <c r="D42" s="12"/>
    </row>
    <row r="43" spans="1:4" ht="33.950000000000003" customHeight="1" x14ac:dyDescent="0.25">
      <c r="A43" s="4" t="s">
        <v>113</v>
      </c>
      <c r="B43" s="12" t="s">
        <v>114</v>
      </c>
      <c r="C43" s="12"/>
      <c r="D43" s="12"/>
    </row>
    <row r="44" spans="1:4" ht="33.950000000000003" customHeight="1" x14ac:dyDescent="0.25">
      <c r="A44" s="4" t="s">
        <v>115</v>
      </c>
      <c r="B44" s="12" t="s">
        <v>116</v>
      </c>
      <c r="C44" s="12"/>
      <c r="D44" s="12"/>
    </row>
    <row r="45" spans="1:4" ht="18.95" customHeight="1" x14ac:dyDescent="0.25">
      <c r="A45" s="4" t="s">
        <v>117</v>
      </c>
      <c r="B45" s="12" t="s">
        <v>118</v>
      </c>
      <c r="C45" s="12"/>
      <c r="D45" s="12"/>
    </row>
  </sheetData>
  <mergeCells count="18">
    <mergeCell ref="B43:D43"/>
    <mergeCell ref="B44:D44"/>
    <mergeCell ref="B45:D45"/>
    <mergeCell ref="A38:D38"/>
    <mergeCell ref="B39:D39"/>
    <mergeCell ref="B40:D40"/>
    <mergeCell ref="B41:D41"/>
    <mergeCell ref="B42:D42"/>
    <mergeCell ref="B7:D7"/>
    <mergeCell ref="B8:D8"/>
    <mergeCell ref="B9:D9"/>
    <mergeCell ref="A11:D11"/>
    <mergeCell ref="A25:D25"/>
    <mergeCell ref="A1:D1"/>
    <mergeCell ref="A2:D2"/>
    <mergeCell ref="B3:D3"/>
    <mergeCell ref="A5:D5"/>
    <mergeCell ref="B6:D6"/>
  </mergeCells>
  <pageMargins left="0.5" right="0.5" top="0.6" bottom="0.6" header="0.3" footer="0.3"/>
  <pageSetup paperSize="9" fitToHeight="0" orientation="portrait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Câu hỏi</vt:lpstr>
      <vt:lpstr>Hướng dẫn</vt:lpstr>
      <vt:lpstr>'Câu hỏi'!Print_Titles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nhập ngân hàng câu hỏi Canvas (Excel)</dc:title>
  <dc:subject>Ngân hàng câu hỏi Canvas</dc:subject>
  <dc:creator/>
  <cp:keywords>Canvas; QTI; ngân hàng câu hỏi; mẫu</cp:keywords>
  <dc:description>Mẫu Excel cho công cụ Ngân hàng câu hỏi Canvas: trang Câu hỏi (dòng ví dụ mọi loại câu) và trang Hướng dẫn.</dc:description>
  <cp:lastModifiedBy/>
  <cp:revision>1</cp:revision>
  <dcterms:created xsi:type="dcterms:W3CDTF">2026-10-01T08:00:00Z</dcterms:created>
  <dcterms:modified xsi:type="dcterms:W3CDTF">2026-10-02T05:26:14Z</dcterms:modified>
</cp:coreProperties>
</file>